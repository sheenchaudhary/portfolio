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1ff44f3ad63614d5/Documents/"/>
    </mc:Choice>
  </mc:AlternateContent>
  <xr:revisionPtr revIDLastSave="92" documentId="8_{C0954196-9CCB-4879-AE00-0D381D07E890}" xr6:coauthVersionLast="47" xr6:coauthVersionMax="47" xr10:uidLastSave="{B9084E83-4705-44AF-B333-FB9068BAAA2E}"/>
  <bookViews>
    <workbookView xWindow="-108" yWindow="-108" windowWidth="23256" windowHeight="12456" activeTab="1" xr2:uid="{00000000-000D-0000-FFFF-FFFF00000000}"/>
  </bookViews>
  <sheets>
    <sheet name="Inflation Data" sheetId="1" r:id="rId1"/>
    <sheet name="Inflation Rate(%change)" sheetId="2" r:id="rId2"/>
    <sheet name="Summary Statistic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3" l="1"/>
  <c r="C6" i="3"/>
  <c r="B6" i="3"/>
  <c r="C5" i="3"/>
  <c r="B5" i="3"/>
  <c r="C4" i="3"/>
  <c r="B4" i="3"/>
  <c r="C3" i="3"/>
  <c r="B3" i="3"/>
  <c r="C2" i="3"/>
  <c r="B2" i="3"/>
</calcChain>
</file>

<file path=xl/sharedStrings.xml><?xml version="1.0" encoding="utf-8"?>
<sst xmlns="http://schemas.openxmlformats.org/spreadsheetml/2006/main" count="40" uniqueCount="28">
  <si>
    <t>2014-15</t>
  </si>
  <si>
    <t>2015-16</t>
  </si>
  <si>
    <t>2016-17</t>
  </si>
  <si>
    <t>2017-18</t>
  </si>
  <si>
    <t>2018-19</t>
  </si>
  <si>
    <t>2019-20</t>
  </si>
  <si>
    <t>2020-21</t>
  </si>
  <si>
    <t>2021-22</t>
  </si>
  <si>
    <t>2022-23</t>
  </si>
  <si>
    <t>2023-24</t>
  </si>
  <si>
    <t>2024-25</t>
  </si>
  <si>
    <t xml:space="preserve"> Year</t>
  </si>
  <si>
    <t>Source: RBI Handbook of Statistics on Indian Economy, Tables 36 &amp; 37</t>
  </si>
  <si>
    <t>CPI Combined (Base 2015=1.8)</t>
  </si>
  <si>
    <t>WPI Combined (Base 2015=1.8)</t>
  </si>
  <si>
    <t>Note: % change = ((Current Year Index - Previous Year Index) / Previous Year Index) * 100</t>
  </si>
  <si>
    <t>Statistics</t>
  </si>
  <si>
    <t>WPI (%)</t>
  </si>
  <si>
    <t>CPI  (%)</t>
  </si>
  <si>
    <t>Mean</t>
  </si>
  <si>
    <t>Median</t>
  </si>
  <si>
    <t>Stv Dev</t>
  </si>
  <si>
    <t>Min</t>
  </si>
  <si>
    <t>Max</t>
  </si>
  <si>
    <t>Correlation</t>
  </si>
  <si>
    <t>—</t>
  </si>
  <si>
    <t xml:space="preserve">WPI Index (Base 2014-15=113.9) </t>
  </si>
  <si>
    <t>CPI Inflation (% change)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</si>
</sst>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i/>
      <sz val="11"/>
      <color theme="1"/>
      <name val="Corbel"/>
      <family val="2"/>
    </font>
    <font>
      <b/>
      <sz val="14"/>
      <color theme="0"/>
      <name val="Sitka Banner"/>
    </font>
  </fonts>
  <fills count="4">
    <fill>
      <patternFill patternType="none"/>
    </fill>
    <fill>
      <patternFill patternType="gray125"/>
    </fill>
    <fill>
      <patternFill patternType="solid">
        <fgColor theme="5" tint="-0.249977111117893"/>
        <bgColor indexed="64"/>
      </patternFill>
    </fill>
    <fill>
      <patternFill patternType="solid">
        <fgColor theme="5" tint="0.7999816888943144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2" fillId="0" borderId="0" xfId="0" applyFont="1"/>
    <xf numFmtId="0" fontId="1" fillId="3" borderId="1" xfId="0" applyFont="1" applyFill="1" applyBorder="1" applyAlignment="1">
      <alignment horizontal="center"/>
    </xf>
    <xf numFmtId="0" fontId="1" fillId="0" borderId="1" xfId="0" applyFont="1" applyBorder="1" applyAlignment="1">
      <alignment horizontal="center"/>
    </xf>
    <xf numFmtId="0" fontId="3" fillId="2" borderId="1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workbookViewId="0">
      <selection activeCell="C1" sqref="C1"/>
    </sheetView>
  </sheetViews>
  <sheetFormatPr defaultRowHeight="14.4" x14ac:dyDescent="0.3"/>
  <cols>
    <col min="1" max="1" width="14.6640625" customWidth="1"/>
    <col min="2" max="2" width="35.88671875" customWidth="1"/>
    <col min="3" max="3" width="36.109375" customWidth="1"/>
  </cols>
  <sheetData>
    <row r="1" spans="1:3" ht="22.2" x14ac:dyDescent="0.55000000000000004">
      <c r="A1" s="4" t="s">
        <v>11</v>
      </c>
      <c r="B1" s="4" t="s">
        <v>26</v>
      </c>
      <c r="C1" s="4" t="s">
        <v>13</v>
      </c>
    </row>
    <row r="2" spans="1:3" ht="16.8" x14ac:dyDescent="0.3">
      <c r="A2" s="2" t="s">
        <v>0</v>
      </c>
      <c r="B2" s="2">
        <v>113.9</v>
      </c>
      <c r="C2" s="2">
        <v>118.9</v>
      </c>
    </row>
    <row r="3" spans="1:3" ht="16.8" x14ac:dyDescent="0.3">
      <c r="A3" s="3" t="s">
        <v>1</v>
      </c>
      <c r="B3" s="3">
        <v>109.7</v>
      </c>
      <c r="C3" s="3">
        <v>124.7</v>
      </c>
    </row>
    <row r="4" spans="1:3" ht="16.8" x14ac:dyDescent="0.3">
      <c r="A4" s="2" t="s">
        <v>2</v>
      </c>
      <c r="B4" s="2">
        <v>111.6</v>
      </c>
      <c r="C4" s="2">
        <v>130.30000000000001</v>
      </c>
    </row>
    <row r="5" spans="1:3" ht="16.8" x14ac:dyDescent="0.3">
      <c r="A5" s="3" t="s">
        <v>3</v>
      </c>
      <c r="B5" s="3">
        <v>114.9</v>
      </c>
      <c r="C5" s="3">
        <v>135</v>
      </c>
    </row>
    <row r="6" spans="1:3" ht="16.8" x14ac:dyDescent="0.3">
      <c r="A6" s="2" t="s">
        <v>4</v>
      </c>
      <c r="B6" s="2">
        <v>119.8</v>
      </c>
      <c r="C6" s="2">
        <v>139.6</v>
      </c>
    </row>
    <row r="7" spans="1:3" ht="16.8" x14ac:dyDescent="0.3">
      <c r="A7" s="3" t="s">
        <v>5</v>
      </c>
      <c r="B7" s="3">
        <v>121.8</v>
      </c>
      <c r="C7" s="3">
        <v>146.30000000000001</v>
      </c>
    </row>
    <row r="8" spans="1:3" ht="16.8" x14ac:dyDescent="0.3">
      <c r="A8" s="2" t="s">
        <v>6</v>
      </c>
      <c r="B8" s="2">
        <v>123.4</v>
      </c>
      <c r="C8" s="2">
        <v>155.30000000000001</v>
      </c>
    </row>
    <row r="9" spans="1:3" ht="16.8" x14ac:dyDescent="0.3">
      <c r="A9" s="3" t="s">
        <v>7</v>
      </c>
      <c r="B9" s="3">
        <v>139.4</v>
      </c>
      <c r="C9" s="3">
        <v>163.80000000000001</v>
      </c>
    </row>
    <row r="10" spans="1:3" ht="16.8" x14ac:dyDescent="0.3">
      <c r="A10" s="2" t="s">
        <v>8</v>
      </c>
      <c r="B10" s="2">
        <v>152.5</v>
      </c>
      <c r="C10" s="2">
        <v>174.7</v>
      </c>
    </row>
    <row r="11" spans="1:3" ht="16.8" x14ac:dyDescent="0.3">
      <c r="A11" s="3" t="s">
        <v>9</v>
      </c>
      <c r="B11" s="3">
        <v>151.4</v>
      </c>
      <c r="C11" s="3">
        <v>184.1</v>
      </c>
    </row>
    <row r="12" spans="1:3" ht="16.8" x14ac:dyDescent="0.3">
      <c r="A12" s="2" t="s">
        <v>10</v>
      </c>
      <c r="B12" s="2">
        <v>155</v>
      </c>
      <c r="C12" s="2">
        <v>193.7</v>
      </c>
    </row>
    <row r="14" spans="1:3" x14ac:dyDescent="0.3">
      <c r="A14" s="1" t="s">
        <v>12</v>
      </c>
      <c r="B14" s="1"/>
      <c r="C14" s="1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5EBF21-228C-4F0D-A6F9-C3DFF95B573D}">
  <dimension ref="A1:C14"/>
  <sheetViews>
    <sheetView tabSelected="1" workbookViewId="0">
      <selection activeCell="G14" sqref="G14"/>
    </sheetView>
  </sheetViews>
  <sheetFormatPr defaultRowHeight="14.4" x14ac:dyDescent="0.3"/>
  <cols>
    <col min="1" max="1" width="20.109375" customWidth="1"/>
    <col min="2" max="2" width="32.21875" customWidth="1"/>
    <col min="3" max="3" width="39.44140625" customWidth="1"/>
  </cols>
  <sheetData>
    <row r="1" spans="1:3" ht="22.2" x14ac:dyDescent="0.55000000000000004">
      <c r="A1" s="4" t="s">
        <v>11</v>
      </c>
      <c r="B1" s="4" t="s">
        <v>27</v>
      </c>
      <c r="C1" s="4" t="s">
        <v>14</v>
      </c>
    </row>
    <row r="2" spans="1:3" ht="16.8" x14ac:dyDescent="0.3">
      <c r="A2" s="2" t="s">
        <v>0</v>
      </c>
      <c r="B2" s="2">
        <v>6.2</v>
      </c>
      <c r="C2" s="2">
        <v>1.8</v>
      </c>
    </row>
    <row r="3" spans="1:3" ht="16.8" x14ac:dyDescent="0.3">
      <c r="A3" s="3" t="s">
        <v>1</v>
      </c>
      <c r="B3" s="3">
        <v>5.0999999999999996</v>
      </c>
      <c r="C3" s="3">
        <v>-2.9</v>
      </c>
    </row>
    <row r="4" spans="1:3" ht="16.8" x14ac:dyDescent="0.3">
      <c r="A4" s="2" t="s">
        <v>2</v>
      </c>
      <c r="B4" s="2">
        <v>4.3</v>
      </c>
      <c r="C4" s="2">
        <v>2.1</v>
      </c>
    </row>
    <row r="5" spans="1:3" ht="16.8" x14ac:dyDescent="0.3">
      <c r="A5" s="3" t="s">
        <v>3</v>
      </c>
      <c r="B5" s="3">
        <v>3.8</v>
      </c>
      <c r="C5" s="3">
        <v>3.4</v>
      </c>
    </row>
    <row r="6" spans="1:3" ht="16.8" x14ac:dyDescent="0.3">
      <c r="A6" s="2" t="s">
        <v>4</v>
      </c>
      <c r="B6" s="2">
        <v>3.9</v>
      </c>
      <c r="C6" s="2">
        <v>4.8</v>
      </c>
    </row>
    <row r="7" spans="1:3" ht="16.8" x14ac:dyDescent="0.3">
      <c r="A7" s="3" t="s">
        <v>5</v>
      </c>
      <c r="B7" s="3">
        <v>4.5999999999999996</v>
      </c>
      <c r="C7" s="3">
        <v>2.2000000000000002</v>
      </c>
    </row>
    <row r="8" spans="1:3" ht="16.8" x14ac:dyDescent="0.3">
      <c r="A8" s="2" t="s">
        <v>6</v>
      </c>
      <c r="B8" s="2">
        <v>6.4</v>
      </c>
      <c r="C8" s="2">
        <v>1.6</v>
      </c>
    </row>
    <row r="9" spans="1:3" ht="16.8" x14ac:dyDescent="0.3">
      <c r="A9" s="3" t="s">
        <v>7</v>
      </c>
      <c r="B9" s="3">
        <v>5.9</v>
      </c>
      <c r="C9" s="3">
        <v>11.5</v>
      </c>
    </row>
    <row r="10" spans="1:3" ht="16.8" x14ac:dyDescent="0.3">
      <c r="A10" s="2" t="s">
        <v>8</v>
      </c>
      <c r="B10" s="2">
        <v>6.8</v>
      </c>
      <c r="C10" s="2">
        <v>8.6999999999999993</v>
      </c>
    </row>
    <row r="11" spans="1:3" ht="16.8" x14ac:dyDescent="0.3">
      <c r="A11" s="3" t="s">
        <v>9</v>
      </c>
      <c r="B11" s="3">
        <v>5.6</v>
      </c>
      <c r="C11" s="3">
        <v>0.9</v>
      </c>
    </row>
    <row r="12" spans="1:3" ht="16.8" x14ac:dyDescent="0.3">
      <c r="A12" s="2" t="s">
        <v>10</v>
      </c>
      <c r="B12" s="2">
        <v>5.2</v>
      </c>
      <c r="C12" s="2">
        <v>2.4</v>
      </c>
    </row>
    <row r="14" spans="1:3" x14ac:dyDescent="0.3">
      <c r="A14" s="1" t="s">
        <v>15</v>
      </c>
      <c r="B14" s="1"/>
      <c r="C14" s="1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63F949-11C7-4EE2-8449-F9FEF1842CF7}">
  <dimension ref="A1:C12"/>
  <sheetViews>
    <sheetView workbookViewId="0">
      <selection activeCell="B2" sqref="B2"/>
    </sheetView>
  </sheetViews>
  <sheetFormatPr defaultRowHeight="14.4" x14ac:dyDescent="0.3"/>
  <cols>
    <col min="1" max="1" width="14.88671875" customWidth="1"/>
    <col min="2" max="2" width="36.5546875" customWidth="1"/>
    <col min="3" max="3" width="40.6640625" customWidth="1"/>
  </cols>
  <sheetData>
    <row r="1" spans="1:3" ht="22.2" x14ac:dyDescent="0.55000000000000004">
      <c r="A1" s="4" t="s">
        <v>16</v>
      </c>
      <c r="B1" s="4" t="s">
        <v>18</v>
      </c>
      <c r="C1" s="4" t="s">
        <v>17</v>
      </c>
    </row>
    <row r="2" spans="1:3" ht="16.8" x14ac:dyDescent="0.3">
      <c r="A2" s="2" t="s">
        <v>19</v>
      </c>
      <c r="B2" s="2">
        <f>AVERAGE('Inflation Rate(%change)'!B2:B12)</f>
        <v>5.254545454545454</v>
      </c>
      <c r="C2" s="2">
        <f>AVERAGE('Inflation Rate(%change)'!C2:C12)</f>
        <v>3.3181818181818183</v>
      </c>
    </row>
    <row r="3" spans="1:3" ht="16.8" x14ac:dyDescent="0.3">
      <c r="A3" s="3" t="s">
        <v>20</v>
      </c>
      <c r="B3" s="3">
        <f>MEDIAN('Inflation Rate(%change)'!B2:B12)</f>
        <v>5.2</v>
      </c>
      <c r="C3" s="3">
        <f>MEDIAN('Inflation Rate(%change)'!C2:C12)</f>
        <v>2.2000000000000002</v>
      </c>
    </row>
    <row r="4" spans="1:3" ht="16.8" x14ac:dyDescent="0.3">
      <c r="A4" s="2" t="s">
        <v>21</v>
      </c>
      <c r="B4" s="2">
        <f>STDEV('Inflation Rate(%change)'!B2:B12)</f>
        <v>1.0221190110389677</v>
      </c>
      <c r="C4" s="2">
        <f>STDEV('Inflation Rate(%change)'!C2:C12)</f>
        <v>3.8917395035685987</v>
      </c>
    </row>
    <row r="5" spans="1:3" ht="16.8" x14ac:dyDescent="0.3">
      <c r="A5" s="3" t="s">
        <v>22</v>
      </c>
      <c r="B5" s="3">
        <f>MIN('Inflation Rate(%change)'!B2:B12)</f>
        <v>3.8</v>
      </c>
      <c r="C5" s="3">
        <f>MIN('Inflation Rate(%change)'!C2:C12)</f>
        <v>-2.9</v>
      </c>
    </row>
    <row r="6" spans="1:3" ht="16.8" x14ac:dyDescent="0.3">
      <c r="A6" s="2" t="s">
        <v>23</v>
      </c>
      <c r="B6" s="2">
        <f>MAX('Inflation Rate(%change)'!B2:B12)</f>
        <v>6.8</v>
      </c>
      <c r="C6" s="2">
        <f>MAX('Inflation Rate(%change)'!C2:C12)</f>
        <v>11.5</v>
      </c>
    </row>
    <row r="7" spans="1:3" ht="16.8" x14ac:dyDescent="0.3">
      <c r="A7" s="3" t="s">
        <v>24</v>
      </c>
      <c r="B7" s="3">
        <f>CORREL('Inflation Rate(%change)'!B2:B12,'Inflation Rate(%change)'!C2:C12)</f>
        <v>0.25489058157379901</v>
      </c>
      <c r="C7" s="3" t="s">
        <v>25</v>
      </c>
    </row>
    <row r="8" spans="1:3" ht="16.8" x14ac:dyDescent="0.3">
      <c r="A8" s="6"/>
      <c r="B8" s="5"/>
      <c r="C8" s="5"/>
    </row>
    <row r="9" spans="1:3" ht="16.8" x14ac:dyDescent="0.3">
      <c r="A9" s="7"/>
      <c r="B9" s="5"/>
      <c r="C9" s="5"/>
    </row>
    <row r="10" spans="1:3" ht="16.8" x14ac:dyDescent="0.3">
      <c r="A10" s="5"/>
      <c r="B10" s="5"/>
      <c r="C10" s="5"/>
    </row>
    <row r="11" spans="1:3" ht="16.8" x14ac:dyDescent="0.3">
      <c r="A11" s="5"/>
      <c r="B11" s="5"/>
      <c r="C11" s="5"/>
    </row>
    <row r="12" spans="1:3" ht="16.8" x14ac:dyDescent="0.3">
      <c r="A12" s="5"/>
      <c r="B12" s="5"/>
      <c r="C12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Inflation Data</vt:lpstr>
      <vt:lpstr>Inflation Rate(%change)</vt:lpstr>
      <vt:lpstr>Summary Statistics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amit chaudhary</cp:lastModifiedBy>
  <dcterms:created xsi:type="dcterms:W3CDTF">2026-04-04T10:35:57Z</dcterms:created>
  <dcterms:modified xsi:type="dcterms:W3CDTF">2026-04-06T12:29:24Z</dcterms:modified>
</cp:coreProperties>
</file>